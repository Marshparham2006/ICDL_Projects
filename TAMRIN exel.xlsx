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lal9057\Downloads\"/>
    </mc:Choice>
  </mc:AlternateContent>
  <xr:revisionPtr revIDLastSave="0" documentId="13_ncr:1_{A419B3EB-FF5B-41F4-B30B-6D0715B17208}" xr6:coauthVersionLast="47" xr6:coauthVersionMax="47" xr10:uidLastSave="{00000000-0000-0000-0000-000000000000}"/>
  <bookViews>
    <workbookView xWindow="-108" yWindow="-108" windowWidth="23256" windowHeight="13896" xr2:uid="{83C8E2EC-6083-4EB6-A8D3-0B510E5DE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8" i="1"/>
  <c r="B29" i="1"/>
  <c r="B30" i="1"/>
</calcChain>
</file>

<file path=xl/sharedStrings.xml><?xml version="1.0" encoding="utf-8"?>
<sst xmlns="http://schemas.openxmlformats.org/spreadsheetml/2006/main" count="69" uniqueCount="58">
  <si>
    <t>نام</t>
  </si>
  <si>
    <t>نام خانوادگی</t>
  </si>
  <si>
    <t>سن</t>
  </si>
  <si>
    <t>شهر</t>
  </si>
  <si>
    <t>تهران</t>
  </si>
  <si>
    <t>محمد</t>
  </si>
  <si>
    <t>علی</t>
  </si>
  <si>
    <t>محمدی</t>
  </si>
  <si>
    <t>باقری</t>
  </si>
  <si>
    <t>کرج</t>
  </si>
  <si>
    <t>مشهد</t>
  </si>
  <si>
    <t>فاطمه</t>
  </si>
  <si>
    <t>گوهری</t>
  </si>
  <si>
    <t>زهرا</t>
  </si>
  <si>
    <t>حسین</t>
  </si>
  <si>
    <t>علی نژاد</t>
  </si>
  <si>
    <t>حقوق</t>
  </si>
  <si>
    <t>ردیف</t>
  </si>
  <si>
    <t>منتظری</t>
  </si>
  <si>
    <t>شیراز</t>
  </si>
  <si>
    <t>میانگین حقوق</t>
  </si>
  <si>
    <t>جمع حقوق</t>
  </si>
  <si>
    <t>میاانگین حقوق</t>
  </si>
  <si>
    <t>تعداد کارمندان</t>
  </si>
  <si>
    <t>شماره پرسنلی</t>
  </si>
  <si>
    <t>واحد</t>
  </si>
  <si>
    <t>حقوق پایه</t>
  </si>
  <si>
    <t>اضافه کار</t>
  </si>
  <si>
    <t>کسر کار</t>
  </si>
  <si>
    <t>حقوق قابل پرداخت</t>
  </si>
  <si>
    <t>اصغر</t>
  </si>
  <si>
    <t>لیلا</t>
  </si>
  <si>
    <t>مجید</t>
  </si>
  <si>
    <t>نازنین</t>
  </si>
  <si>
    <t>نازگل</t>
  </si>
  <si>
    <t>مهدی</t>
  </si>
  <si>
    <t>امیر محمد</t>
  </si>
  <si>
    <t>ستایش</t>
  </si>
  <si>
    <t>امیری</t>
  </si>
  <si>
    <t>شیرازی</t>
  </si>
  <si>
    <t>امینی</t>
  </si>
  <si>
    <t>زنوز</t>
  </si>
  <si>
    <t>پور اصغری</t>
  </si>
  <si>
    <t>محمد زاده</t>
  </si>
  <si>
    <t>43h</t>
  </si>
  <si>
    <t>23h</t>
  </si>
  <si>
    <t>12h</t>
  </si>
  <si>
    <t>52h</t>
  </si>
  <si>
    <t>22h</t>
  </si>
  <si>
    <t>10h</t>
  </si>
  <si>
    <t>34h</t>
  </si>
  <si>
    <t>21h</t>
  </si>
  <si>
    <t>مجموع حقوق قلبل پرداخت</t>
  </si>
  <si>
    <t>بیشترین حقوق</t>
  </si>
  <si>
    <t>کمترین حقوق</t>
  </si>
  <si>
    <t>موارد</t>
  </si>
  <si>
    <t>مقدار</t>
  </si>
  <si>
    <t>202400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</si>
</sst>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2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3" borderId="0" xfId="0" applyFont="1" applyFill="1" applyBorder="1"/>
    <xf numFmtId="43" fontId="0" fillId="3" borderId="3" xfId="1" applyFont="1" applyFill="1" applyBorder="1"/>
    <xf numFmtId="43" fontId="0" fillId="3" borderId="0" xfId="1" applyFont="1" applyFill="1" applyBorder="1"/>
    <xf numFmtId="43" fontId="0" fillId="3" borderId="4" xfId="1" applyFont="1" applyFill="1" applyBorder="1"/>
    <xf numFmtId="43" fontId="0" fillId="3" borderId="0" xfId="1" applyFont="1" applyFill="1" applyBorder="1" applyAlignment="1">
      <alignment horizontal="right"/>
    </xf>
    <xf numFmtId="43" fontId="0" fillId="3" borderId="4" xfId="1" applyFont="1" applyFill="1" applyBorder="1" applyAlignment="1">
      <alignment horizontal="righ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14"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Sheet1!$H$13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Sheet1!$C$14:$C$24</c:f>
              <c:strCache>
                <c:ptCount val="11"/>
                <c:pt idx="0">
                  <c:v>نام خانوادگی</c:v>
                </c:pt>
                <c:pt idx="1">
                  <c:v>امیری</c:v>
                </c:pt>
                <c:pt idx="2">
                  <c:v>باقری</c:v>
                </c:pt>
                <c:pt idx="3">
                  <c:v>شیرازی</c:v>
                </c:pt>
                <c:pt idx="4">
                  <c:v>محمدی</c:v>
                </c:pt>
                <c:pt idx="5">
                  <c:v>امینی</c:v>
                </c:pt>
                <c:pt idx="6">
                  <c:v>زنوز</c:v>
                </c:pt>
                <c:pt idx="7">
                  <c:v>باقری</c:v>
                </c:pt>
                <c:pt idx="8">
                  <c:v>محمدی</c:v>
                </c:pt>
                <c:pt idx="9">
                  <c:v>پور اصغری</c:v>
                </c:pt>
                <c:pt idx="10">
                  <c:v>محمد زاده</c:v>
                </c:pt>
              </c:strCache>
            </c:strRef>
          </c:cat>
          <c:val>
            <c:numRef>
              <c:f>Sheet1!$H$14:$H$24</c:f>
              <c:numCache>
                <c:formatCode>General</c:formatCode>
                <c:ptCount val="11"/>
                <c:pt idx="0">
                  <c:v>0</c:v>
                </c:pt>
                <c:pt idx="1">
                  <c:v>23000019</c:v>
                </c:pt>
                <c:pt idx="2">
                  <c:v>21999989</c:v>
                </c:pt>
                <c:pt idx="3">
                  <c:v>39999978</c:v>
                </c:pt>
                <c:pt idx="4">
                  <c:v>19999956</c:v>
                </c:pt>
                <c:pt idx="5">
                  <c:v>40000028</c:v>
                </c:pt>
                <c:pt idx="6">
                  <c:v>12000010</c:v>
                </c:pt>
                <c:pt idx="7">
                  <c:v>39999936</c:v>
                </c:pt>
                <c:pt idx="8">
                  <c:v>44999976</c:v>
                </c:pt>
                <c:pt idx="9">
                  <c:v>20000008</c:v>
                </c:pt>
                <c:pt idx="10">
                  <c:v>19999956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4-42C5-94A8-0AAE108E6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1456976"/>
        <c:axId val="1291457456"/>
      </c:barChart>
      <c:catAx>
        <c:axId val="129145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800">
                    <a:solidFill>
                      <a:srgbClr val="00B0F0"/>
                    </a:solidFill>
                  </a:rPr>
                  <a:t>نام</a:t>
                </a:r>
                <a:r>
                  <a:rPr lang="fa-IR" sz="1800" baseline="0">
                    <a:solidFill>
                      <a:srgbClr val="00B0F0"/>
                    </a:solidFill>
                  </a:rPr>
                  <a:t> خانوادگی</a:t>
                </a:r>
                <a:endParaRPr lang="en-US" sz="1800">
                  <a:solidFill>
                    <a:srgbClr val="00B0F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57456"/>
        <c:crosses val="autoZero"/>
        <c:auto val="1"/>
        <c:lblAlgn val="ctr"/>
        <c:lblOffset val="100"/>
        <c:noMultiLvlLbl val="0"/>
      </c:catAx>
      <c:valAx>
        <c:axId val="129145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>
                    <a:solidFill>
                      <a:srgbClr val="00B0F0"/>
                    </a:solidFill>
                  </a:rPr>
                  <a:t>حقوق</a:t>
                </a:r>
                <a:r>
                  <a:rPr lang="fa-IR" sz="1400" baseline="0">
                    <a:solidFill>
                      <a:srgbClr val="00B0F0"/>
                    </a:solidFill>
                  </a:rPr>
                  <a:t> قابل پرداخت</a:t>
                </a:r>
                <a:endParaRPr lang="en-US" sz="1400">
                  <a:solidFill>
                    <a:srgbClr val="00B0F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5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31</xdr:row>
      <xdr:rowOff>163830</xdr:rowOff>
    </xdr:from>
    <xdr:to>
      <xdr:col>5</xdr:col>
      <xdr:colOff>403860</xdr:colOff>
      <xdr:row>46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BC1C20-1EBB-CB32-6E35-F8EC29364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0.25833</cdr:x>
      <cdr:y>0.02083</cdr:y>
    </cdr:from>
    <cdr:to>
      <cdr:x>0.865</cdr:x>
      <cdr:y>0.12639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DD3D094-EE72-2E35-048D-57B357D26D86}"/>
            </a:ext>
          </a:extLst>
        </cdr:cNvPr>
        <cdr:cNvSpPr txBox="1"/>
      </cdr:nvSpPr>
      <cdr:spPr>
        <a:xfrm xmlns:a="http://schemas.openxmlformats.org/drawingml/2006/main">
          <a:off x="1181100" y="57150"/>
          <a:ext cx="2773680" cy="289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a-IR" sz="1800" kern="1200">
              <a:solidFill>
                <a:srgbClr val="00B0F0"/>
              </a:solidFill>
            </a:rPr>
            <a:t>جدول  کارمندان و حقوقشان</a:t>
          </a:r>
          <a:endParaRPr lang="en-US" sz="1800" kern="1200">
            <a:solidFill>
              <a:srgbClr val="00B0F0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8750F-6777-47C1-A8EF-EBC87B7D1514}" name="Table1" displayName="Table1" ref="A1:F6" totalsRowShown="0">
  <autoFilter ref="A1:F6" xr:uid="{C948750F-6777-47C1-A8EF-EBC87B7D1514}"/>
  <tableColumns count="6">
    <tableColumn id="1" xr3:uid="{88358ED0-7AE3-4560-98AF-D43B17071DD4}" name="ردیف"/>
    <tableColumn id="2" xr3:uid="{75C217CB-E7F2-4649-A989-B72021FBB12F}" name="نام"/>
    <tableColumn id="3" xr3:uid="{90707F71-CB5D-48CE-AA6A-5849CFF9192F}" name="نام خانوادگی"/>
    <tableColumn id="4" xr3:uid="{93F6B1E6-560D-46F7-B24F-850B62A4C159}" name="سن"/>
    <tableColumn id="5" xr3:uid="{A0275323-03F9-40B1-BE9C-F1C94DFF33E5}" name="شهر"/>
    <tableColumn id="6" xr3:uid="{0D94B530-C840-4F2A-92B1-FC2E41879629}" name="حقو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3A429-375F-4D2A-B695-900B6B2035F1}" name="Table2" displayName="Table2" ref="A14:H24" totalsRowShown="0" headerRowDxfId="8" dataDxfId="9" headerRowBorderDxfId="12" tableBorderDxfId="13" totalsRowBorderDxfId="11">
  <autoFilter ref="A14:H24" xr:uid="{1183A429-375F-4D2A-B695-900B6B2035F1}"/>
  <tableColumns count="8">
    <tableColumn id="1" xr3:uid="{EE655875-6566-493F-B275-761216FE7573}" name="شماره پرسنلی" dataDxfId="10"/>
    <tableColumn id="2" xr3:uid="{446012C2-0E56-40E7-B7BA-67D243DDDBA9}" name="نام" dataDxfId="7"/>
    <tableColumn id="3" xr3:uid="{EA4E78B3-42AC-433C-8E79-CF6355AA51CC}" name="نام خانوادگی" dataDxfId="6"/>
    <tableColumn id="4" xr3:uid="{0E372DF9-AEE4-4201-9467-0688A0DB7EB2}" name="واحد" dataDxfId="5"/>
    <tableColumn id="5" xr3:uid="{A9E807CF-FC71-4890-8F45-A71D79E0BCC1}" name="حقوق پایه" dataDxfId="4" dataCellStyle="Comma"/>
    <tableColumn id="6" xr3:uid="{6FAE1971-C9DF-4258-8144-3E784D923B0C}" name="اضافه کار" dataDxfId="3" dataCellStyle="Comma"/>
    <tableColumn id="7" xr3:uid="{0713AC9E-F3A8-4095-AE5C-15535B5A32C1}" name="کسر کار" dataDxfId="1" dataCellStyle="Comma"/>
    <tableColumn id="8" xr3:uid="{829CD13B-A769-46E4-B0B4-E1DA17A15695}" name="حقوق قابل پرداخت" dataDxfId="2">
      <calculatedColumnFormula array="1">E15+F15_G15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916B96-131C-4CB3-B7A6-EB1C64655E4C}" name="Table3" displayName="Table3" ref="A26:B30" totalsRowShown="0">
  <autoFilter ref="A26:B30" xr:uid="{80916B96-131C-4CB3-B7A6-EB1C64655E4C}"/>
  <tableColumns count="2">
    <tableColumn id="1" xr3:uid="{A3E3EEAE-0615-454B-A139-567871116C6C}" name="موارد"/>
    <tableColumn id="2" xr3:uid="{334DB079-1489-4FF2-9D19-C7221762624C}" name="مقدا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EBD394-EC31-452B-866E-D3811786FC37}" name="Table5" displayName="Table5" ref="A9:B11" totalsRowShown="0" tableBorderDxfId="0">
  <autoFilter ref="A9:B11" xr:uid="{4DEBD394-EC31-452B-866E-D3811786FC37}"/>
  <tableColumns count="2">
    <tableColumn id="1" xr3:uid="{4871D40B-BD6A-42C1-93FA-F9339F27C693}" name="میاانگین حقوق"/>
    <tableColumn id="2" xr3:uid="{905A11CB-1EAB-4BA2-B17C-5EA24A59A68C}" name="202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57EA-5845-4B2F-ADBA-149AB580B25A}">
  <dimension ref="A1:H30"/>
  <sheetViews>
    <sheetView rightToLeft="1" tabSelected="1" workbookViewId="0">
      <selection activeCell="G9" sqref="G9"/>
    </sheetView>
  </sheetViews>
  <sheetFormatPr defaultRowHeight="14.4" x14ac:dyDescent="0.3"/>
  <cols>
    <col min="1" max="1" width="18.77734375" bestFit="1" customWidth="1"/>
    <col min="2" max="2" width="10.88671875" customWidth="1"/>
    <col min="3" max="3" width="11.21875" bestFit="1" customWidth="1"/>
    <col min="5" max="5" width="14.88671875" bestFit="1" customWidth="1"/>
    <col min="6" max="6" width="14.44140625" customWidth="1"/>
    <col min="7" max="7" width="25.33203125" customWidth="1"/>
    <col min="8" max="8" width="15.5546875" bestFit="1" customWidth="1"/>
    <col min="9" max="9" width="22.44140625" bestFit="1" customWidth="1"/>
  </cols>
  <sheetData>
    <row r="1" spans="1:8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16</v>
      </c>
    </row>
    <row r="2" spans="1:8" x14ac:dyDescent="0.3">
      <c r="A2">
        <v>1</v>
      </c>
      <c r="B2" t="s">
        <v>14</v>
      </c>
      <c r="C2" t="s">
        <v>15</v>
      </c>
      <c r="D2">
        <v>20</v>
      </c>
      <c r="E2" t="s">
        <v>4</v>
      </c>
      <c r="F2">
        <v>20000</v>
      </c>
    </row>
    <row r="3" spans="1:8" x14ac:dyDescent="0.3">
      <c r="A3">
        <v>2</v>
      </c>
      <c r="B3" t="s">
        <v>5</v>
      </c>
      <c r="C3" t="s">
        <v>7</v>
      </c>
      <c r="D3">
        <v>45</v>
      </c>
      <c r="E3" t="s">
        <v>4</v>
      </c>
      <c r="F3">
        <v>300000</v>
      </c>
    </row>
    <row r="4" spans="1:8" x14ac:dyDescent="0.3">
      <c r="A4">
        <v>3</v>
      </c>
      <c r="B4" t="s">
        <v>6</v>
      </c>
      <c r="C4" t="s">
        <v>8</v>
      </c>
      <c r="D4">
        <v>18</v>
      </c>
      <c r="E4" t="s">
        <v>9</v>
      </c>
      <c r="F4">
        <v>450000</v>
      </c>
    </row>
    <row r="5" spans="1:8" x14ac:dyDescent="0.3">
      <c r="A5">
        <v>4</v>
      </c>
      <c r="B5" t="s">
        <v>11</v>
      </c>
      <c r="C5" t="s">
        <v>18</v>
      </c>
      <c r="D5">
        <v>22</v>
      </c>
      <c r="E5" t="s">
        <v>10</v>
      </c>
      <c r="F5">
        <v>12000</v>
      </c>
    </row>
    <row r="6" spans="1:8" x14ac:dyDescent="0.3">
      <c r="A6">
        <v>5</v>
      </c>
      <c r="B6" t="s">
        <v>13</v>
      </c>
      <c r="C6" t="s">
        <v>12</v>
      </c>
      <c r="D6">
        <v>20</v>
      </c>
      <c r="E6" t="s">
        <v>19</v>
      </c>
      <c r="F6">
        <v>230000</v>
      </c>
    </row>
    <row r="9" spans="1:8" x14ac:dyDescent="0.3">
      <c r="A9" s="1" t="s">
        <v>22</v>
      </c>
      <c r="B9" t="s">
        <v>57</v>
      </c>
      <c r="E9" s="13"/>
    </row>
    <row r="10" spans="1:8" x14ac:dyDescent="0.3">
      <c r="A10" s="2" t="s">
        <v>21</v>
      </c>
      <c r="B10">
        <v>1012000</v>
      </c>
      <c r="E10" s="13"/>
    </row>
    <row r="11" spans="1:8" ht="16.2" customHeight="1" x14ac:dyDescent="0.3">
      <c r="A11" s="4" t="s">
        <v>23</v>
      </c>
      <c r="B11">
        <v>5</v>
      </c>
    </row>
    <row r="12" spans="1:8" ht="12" customHeight="1" x14ac:dyDescent="0.3"/>
    <row r="13" spans="1:8" x14ac:dyDescent="0.3">
      <c r="A13" s="3"/>
    </row>
    <row r="14" spans="1:8" x14ac:dyDescent="0.3">
      <c r="A14" s="5" t="s">
        <v>24</v>
      </c>
      <c r="B14" s="5" t="s">
        <v>0</v>
      </c>
      <c r="C14" s="5" t="s">
        <v>1</v>
      </c>
      <c r="D14" s="5" t="s">
        <v>25</v>
      </c>
      <c r="E14" s="8" t="s">
        <v>26</v>
      </c>
      <c r="F14" s="8" t="s">
        <v>27</v>
      </c>
      <c r="G14" s="8" t="s">
        <v>28</v>
      </c>
      <c r="H14" s="5" t="s">
        <v>29</v>
      </c>
    </row>
    <row r="15" spans="1:8" x14ac:dyDescent="0.3">
      <c r="A15" s="6">
        <v>4534</v>
      </c>
      <c r="B15" s="7" t="s">
        <v>5</v>
      </c>
      <c r="C15" s="7" t="s">
        <v>38</v>
      </c>
      <c r="D15" s="7">
        <v>3</v>
      </c>
      <c r="E15" s="9">
        <v>23000000</v>
      </c>
      <c r="F15" s="11" t="s">
        <v>44</v>
      </c>
      <c r="G15" s="9">
        <v>24</v>
      </c>
      <c r="H15" s="7">
        <v>23000019</v>
      </c>
    </row>
    <row r="16" spans="1:8" x14ac:dyDescent="0.3">
      <c r="A16" s="6">
        <v>5678</v>
      </c>
      <c r="B16" s="6" t="s">
        <v>30</v>
      </c>
      <c r="C16" s="6" t="s">
        <v>8</v>
      </c>
      <c r="D16" s="6">
        <v>3</v>
      </c>
      <c r="E16" s="10">
        <v>22000000</v>
      </c>
      <c r="F16" s="12" t="s">
        <v>45</v>
      </c>
      <c r="G16" s="10">
        <v>34</v>
      </c>
      <c r="H16" s="6">
        <v>21999989</v>
      </c>
    </row>
    <row r="17" spans="1:8" x14ac:dyDescent="0.3">
      <c r="A17" s="6">
        <v>4322</v>
      </c>
      <c r="B17" s="6" t="s">
        <v>11</v>
      </c>
      <c r="C17" s="6" t="s">
        <v>39</v>
      </c>
      <c r="D17" s="6">
        <v>4</v>
      </c>
      <c r="E17" s="10">
        <v>40000000</v>
      </c>
      <c r="F17" s="12" t="s">
        <v>45</v>
      </c>
      <c r="G17" s="10">
        <v>45</v>
      </c>
      <c r="H17" s="6">
        <v>39999978</v>
      </c>
    </row>
    <row r="18" spans="1:8" x14ac:dyDescent="0.3">
      <c r="A18" s="6">
        <v>1235</v>
      </c>
      <c r="B18" s="6" t="s">
        <v>31</v>
      </c>
      <c r="C18" s="6" t="s">
        <v>7</v>
      </c>
      <c r="D18" s="6">
        <v>2</v>
      </c>
      <c r="E18" s="10">
        <v>20000000</v>
      </c>
      <c r="F18" s="12" t="s">
        <v>46</v>
      </c>
      <c r="G18" s="10">
        <v>56</v>
      </c>
      <c r="H18" s="6">
        <v>19999956</v>
      </c>
    </row>
    <row r="19" spans="1:8" x14ac:dyDescent="0.3">
      <c r="A19" s="6">
        <v>5675</v>
      </c>
      <c r="B19" s="6" t="s">
        <v>32</v>
      </c>
      <c r="C19" s="6" t="s">
        <v>40</v>
      </c>
      <c r="D19" s="6">
        <v>4</v>
      </c>
      <c r="E19" s="10">
        <v>40000000</v>
      </c>
      <c r="F19" s="12" t="s">
        <v>47</v>
      </c>
      <c r="G19" s="10">
        <v>24</v>
      </c>
      <c r="H19" s="6">
        <v>40000028</v>
      </c>
    </row>
    <row r="20" spans="1:8" x14ac:dyDescent="0.3">
      <c r="A20" s="6">
        <v>2344</v>
      </c>
      <c r="B20" s="6" t="s">
        <v>33</v>
      </c>
      <c r="C20" s="6" t="s">
        <v>41</v>
      </c>
      <c r="D20" s="6">
        <v>1</v>
      </c>
      <c r="E20" s="10">
        <v>12000000</v>
      </c>
      <c r="F20" s="12" t="s">
        <v>48</v>
      </c>
      <c r="G20" s="10">
        <v>12</v>
      </c>
      <c r="H20" s="6">
        <v>12000010</v>
      </c>
    </row>
    <row r="21" spans="1:8" x14ac:dyDescent="0.3">
      <c r="A21" s="6">
        <v>1254</v>
      </c>
      <c r="B21" s="6" t="s">
        <v>34</v>
      </c>
      <c r="C21" s="6" t="s">
        <v>8</v>
      </c>
      <c r="D21" s="6">
        <v>4</v>
      </c>
      <c r="E21" s="10">
        <v>40000000</v>
      </c>
      <c r="F21" s="12" t="s">
        <v>46</v>
      </c>
      <c r="G21" s="10">
        <v>76</v>
      </c>
      <c r="H21" s="6">
        <v>39999936</v>
      </c>
    </row>
    <row r="22" spans="1:8" x14ac:dyDescent="0.3">
      <c r="A22" s="6">
        <v>6785</v>
      </c>
      <c r="B22" s="6" t="s">
        <v>35</v>
      </c>
      <c r="C22" s="6" t="s">
        <v>7</v>
      </c>
      <c r="D22" s="6">
        <v>5</v>
      </c>
      <c r="E22" s="10">
        <v>45000000</v>
      </c>
      <c r="F22" s="12" t="s">
        <v>49</v>
      </c>
      <c r="G22" s="10">
        <v>34</v>
      </c>
      <c r="H22" s="6">
        <v>44999976</v>
      </c>
    </row>
    <row r="23" spans="1:8" x14ac:dyDescent="0.3">
      <c r="A23" s="6">
        <v>1247</v>
      </c>
      <c r="B23" s="6" t="s">
        <v>36</v>
      </c>
      <c r="C23" s="6" t="s">
        <v>42</v>
      </c>
      <c r="D23" s="6">
        <v>2</v>
      </c>
      <c r="E23" s="10">
        <v>20000000</v>
      </c>
      <c r="F23" s="12" t="s">
        <v>50</v>
      </c>
      <c r="G23" s="10">
        <v>26</v>
      </c>
      <c r="H23" s="6">
        <v>20000008</v>
      </c>
    </row>
    <row r="24" spans="1:8" x14ac:dyDescent="0.3">
      <c r="A24" s="6">
        <v>9876</v>
      </c>
      <c r="B24" s="6" t="s">
        <v>37</v>
      </c>
      <c r="C24" s="6" t="s">
        <v>43</v>
      </c>
      <c r="D24" s="6">
        <v>2</v>
      </c>
      <c r="E24" s="10">
        <v>20000000</v>
      </c>
      <c r="F24" s="12" t="s">
        <v>51</v>
      </c>
      <c r="G24" s="10">
        <v>65</v>
      </c>
      <c r="H24" s="6">
        <v>19999956</v>
      </c>
    </row>
    <row r="26" spans="1:8" x14ac:dyDescent="0.3">
      <c r="A26" t="s">
        <v>55</v>
      </c>
      <c r="B26" t="s">
        <v>56</v>
      </c>
    </row>
    <row r="27" spans="1:8" x14ac:dyDescent="0.3">
      <c r="A27" t="s">
        <v>52</v>
      </c>
      <c r="B27">
        <f>SUM(H15,H16,H17,H18,H19,H20,H21,H22,H23,H24)</f>
        <v>281999856</v>
      </c>
    </row>
    <row r="28" spans="1:8" x14ac:dyDescent="0.3">
      <c r="A28" t="s">
        <v>20</v>
      </c>
      <c r="B28">
        <f>AVERAGE(H15,H16,H17,H18,H19,H20,H21,H22,H23,H24)</f>
        <v>28199985.600000001</v>
      </c>
    </row>
    <row r="29" spans="1:8" x14ac:dyDescent="0.3">
      <c r="A29" t="s">
        <v>53</v>
      </c>
      <c r="B29">
        <f>MAX(H15,H16,H17,H18,H19,H20,H21,H22,H23,H24)</f>
        <v>44999976</v>
      </c>
    </row>
    <row r="30" spans="1:8" x14ac:dyDescent="0.3">
      <c r="A30" t="s">
        <v>54</v>
      </c>
      <c r="B30">
        <f>MIN(H15,H16,H17,H18,H19,H20,H21,H22,H23,H24)</f>
        <v>12000010</v>
      </c>
    </row>
  </sheetData>
  <phoneticPr fontId="3" type="noConversion"/>
  <pageMargins left="0.7" right="0.7" top="0.75" bottom="0.75" header="0.3" footer="0.3"/>
  <pageSetup orientation="portrait" r:id="rId1"/>
  <rowBreaks count="1" manualBreakCount="1">
    <brk id="11" max="16383" man="1"/>
  </rowBreaks>
  <colBreaks count="1" manualBreakCount="1">
    <brk id="11" max="1048575" man="1"/>
  </colBreaks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 babaei</dc:creator>
  <cp:lastModifiedBy>parham babaei</cp:lastModifiedBy>
  <cp:lastPrinted>2026-05-06T11:24:59Z</cp:lastPrinted>
  <dcterms:created xsi:type="dcterms:W3CDTF">2026-05-02T06:47:37Z</dcterms:created>
  <dcterms:modified xsi:type="dcterms:W3CDTF">2026-05-06T11:25:48Z</dcterms:modified>
</cp:coreProperties>
</file>